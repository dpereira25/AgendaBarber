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3/Nueva carpeta/"/>
    </mc:Choice>
  </mc:AlternateContent>
  <xr:revisionPtr revIDLastSave="763" documentId="8_{2EFDF332-31E9-4C74-A6B5-E695634C1C45}" xr6:coauthVersionLast="47" xr6:coauthVersionMax="47" xr10:uidLastSave="{F96B36A8-217B-4590-9B53-588860853F1D}"/>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E13" i="1"/>
  <c r="E14" i="1"/>
  <c r="E15" i="1"/>
  <c r="E16" i="1"/>
  <c r="E17" i="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G15" i="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<sst xmlns="http://schemas.openxmlformats.org/spreadsheetml/2006/main" count="146" uniqueCount="80">
  <si>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</si>
  <si>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</si>
  <si>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</si>
  <si>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</si>
  <si>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</si>
  <si>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</si>
  <si>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</si>
  <si>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</si>
  <si>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</si>
  <si>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</si>
  <si>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</si>
  <si>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</si>
  <si>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</si>
  <si>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</si>
  <si>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</si>
  <si>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</si>
  <si>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</si>
  <si>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</si>
  <si>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</si>
  <si>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</si>
  <si>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</si>
  <si>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</si>
  <si>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</si>
  <si>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</si>
  <si>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</si>
  <si>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</si>
  <si>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</si>
  <si>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</si>
  <si>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</si>
  <si>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</si>
  <si>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</si>
  <si>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</si>
  <si>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</si>
  <si>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</si>
  <si>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</si>
  <si>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</si>
  <si>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</si>
  <si>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</si>
  <si>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</si>
  <si>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</si>
  <si>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</si>
  <si>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</si>
  <si>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</si>
  <si>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</si>
  <si>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</si>
  <si>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</si>
  <si>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</si>
  <si>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</si>
  <si>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</si>
  <si>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</si>
  <si>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</si>
  <si>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</si>
  <si>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</si>
  <si>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</si>
  <si>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</si>
  <si>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</si>
  <si>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</si>
  <si>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</si>
  <si>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</si>
  <si>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</si>
  <si>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</si>
  <si>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</si>
  <si>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</si>
  <si>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</si>
  <si>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</si>
  <si>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</si>
  <si>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</si>
  <si>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</si>
  <si>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</si>
  <si>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</si>
  <si>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</si>
  <si>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</si>
  <si>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</si>
  <si>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</si>
  <si>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</si>
  <si>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</si>
  <si>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Danyel Pereira</t>
  </si>
  <si>
    <t>Benjamin Duran</t>
  </si>
  <si>
    <t>Javier Sereno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</si>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</sst>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17" sqref="D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5.2</v>
      </c>
      <c r="D4" s="5">
        <f>$C$32</f>
        <v>5.8</v>
      </c>
      <c r="E4" s="6">
        <f>C4*C$2+D4*D$2</f>
        <v>5.3500000000000005</v>
      </c>
      <c r="G4" s="1"/>
    </row>
    <row r="5" spans="1:11" x14ac:dyDescent="0.25">
      <c r="A5" s="4">
        <v>2</v>
      </c>
      <c r="B5" s="27" t="s">
        <v>77</v>
      </c>
      <c r="C5" s="5">
        <f>EVALUACION1!$C$21</f>
        <v>5.2</v>
      </c>
      <c r="D5" s="5">
        <f>C44</f>
        <v>5.8</v>
      </c>
      <c r="E5" s="6">
        <f t="shared" ref="E5:E6" si="0">C5*C$2+D5*D$2</f>
        <v>5.3500000000000005</v>
      </c>
      <c r="G5" s="1"/>
    </row>
    <row r="6" spans="1:11" x14ac:dyDescent="0.25">
      <c r="A6" s="4">
        <v>3</v>
      </c>
      <c r="B6" s="27" t="s">
        <v>78</v>
      </c>
      <c r="C6" s="5">
        <f>EVALUACION1!$C$21</f>
        <v>5.2</v>
      </c>
      <c r="D6" s="5">
        <f>C55</f>
        <v>5.8</v>
      </c>
      <c r="E6" s="6">
        <f t="shared" si="0"/>
        <v>5.3500000000000005</v>
      </c>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79</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79</v>
      </c>
      <c r="G14" s="16">
        <f>IF(F14="X",60*0.2,"")</f>
        <v>12</v>
      </c>
      <c r="H14" s="16" t="str">
        <f t="shared" si="1"/>
        <v/>
      </c>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79</v>
      </c>
      <c r="G15" s="16">
        <f>IF(F15="X",60*0.05,"")</f>
        <v>3</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
        <v>79</v>
      </c>
      <c r="G16" s="16">
        <f>IF(F16="X",60*0.05,"")</f>
        <v>3</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c r="E17" s="16" t="str">
        <f>IF(D17="X",100*0.05,"")</f>
        <v/>
      </c>
      <c r="F17" s="16" t="s">
        <v>79</v>
      </c>
      <c r="G17" s="16">
        <f>IF(F17="X",60*0.05,"")</f>
        <v>3</v>
      </c>
      <c r="H17" s="16" t="str">
        <f>IF($C17=ML,"X","")</f>
        <v/>
      </c>
      <c r="I17" s="16" t="str">
        <f>IF(H17="X",30*0.05,"")</f>
        <v/>
      </c>
      <c r="J17" s="16" t="str">
        <f>IF($C17=NL,"X","")</f>
        <v/>
      </c>
      <c r="K17" s="16" t="str">
        <f t="shared" ref="K17:K19" si="4">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4"/>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4"/>
        <v/>
      </c>
    </row>
    <row r="20" spans="1:11" ht="15.75" customHeight="1" outlineLevel="1" x14ac:dyDescent="0.3">
      <c r="A20" s="67"/>
      <c r="B20" s="29" t="s">
        <v>66</v>
      </c>
      <c r="C20" s="33">
        <f>E20+G20+I20+K20</f>
        <v>57</v>
      </c>
      <c r="D20" s="19"/>
      <c r="E20" s="19">
        <f>SUM(E13:E19)</f>
        <v>30</v>
      </c>
      <c r="F20" s="19"/>
      <c r="G20" s="19">
        <f>SUM(G13:G19)</f>
        <v>27</v>
      </c>
      <c r="H20" s="19"/>
      <c r="I20" s="19">
        <f>SUM(I13:I19)</f>
        <v>0</v>
      </c>
      <c r="J20" s="19"/>
      <c r="K20" s="19">
        <f>SUM(K13:K19)</f>
        <v>0</v>
      </c>
    </row>
    <row r="21" spans="1:11" ht="15.75" customHeight="1" outlineLevel="1" x14ac:dyDescent="0.3">
      <c r="A21" s="54"/>
      <c r="B21" s="32" t="s">
        <v>67</v>
      </c>
      <c r="C21" s="20">
        <f>VLOOKUP(C20,ESCALA_IEP!A1:B152,2,FALSE)</f>
        <v>5.2</v>
      </c>
    </row>
    <row r="22" spans="1:11" ht="15.75" customHeight="1" x14ac:dyDescent="0.25"/>
    <row r="23" spans="1:11" ht="15.75" customHeight="1" x14ac:dyDescent="0.25"/>
    <row r="24" spans="1:11" ht="15.75" customHeight="1" x14ac:dyDescent="0.25">
      <c r="A24" s="66" t="s">
        <v>59</v>
      </c>
      <c r="B24" s="53" t="s">
        <v>68</v>
      </c>
      <c r="C24" s="55" t="str">
        <f>$B$4</f>
        <v>Danyel Pereira</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c r="E29" s="16" t="str">
        <f>IF(D29="X",100*0.1,"")</f>
        <v/>
      </c>
      <c r="F29" s="16" t="s">
        <v>79</v>
      </c>
      <c r="G29" s="16">
        <f>IF(F29="X",60*0.1,"")</f>
        <v>6</v>
      </c>
      <c r="H29" s="16" t="str">
        <f t="shared" si="7"/>
        <v/>
      </c>
      <c r="I29" s="16" t="str">
        <f>IF(H29="X",30*0.1,"")</f>
        <v/>
      </c>
      <c r="J29" s="16" t="str">
        <f t="shared" si="8"/>
        <v/>
      </c>
      <c r="K29" s="16" t="str">
        <f t="shared" si="9"/>
        <v/>
      </c>
    </row>
    <row r="30" spans="1:11" ht="25.9" customHeight="1" x14ac:dyDescent="0.25">
      <c r="A30" s="67"/>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x14ac:dyDescent="0.3">
      <c r="A31" s="67"/>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4"/>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Benjamin Duran</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c r="E41" s="16" t="str">
        <f>IF(D41="X",100*0.1,"")</f>
        <v/>
      </c>
      <c r="F41" s="16" t="s">
        <v>79</v>
      </c>
      <c r="G41" s="16">
        <f>IF(F41="X",60*0.1,"")</f>
        <v>6</v>
      </c>
      <c r="H41" s="16" t="str">
        <f t="shared" si="12"/>
        <v/>
      </c>
      <c r="I41" s="16" t="str">
        <f>IF(H41="X",30*0.1,"")</f>
        <v/>
      </c>
      <c r="J41" s="16" t="str">
        <f t="shared" si="13"/>
        <v/>
      </c>
      <c r="K41" s="16" t="str">
        <f t="shared" si="14"/>
        <v/>
      </c>
    </row>
    <row r="42" spans="1:11" x14ac:dyDescent="0.25">
      <c r="A42" s="67"/>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x14ac:dyDescent="0.3">
      <c r="A43" s="67"/>
      <c r="B43" s="21" t="s">
        <v>70</v>
      </c>
      <c r="C43" s="18">
        <f>E43+G43+I43+K43</f>
        <v>21</v>
      </c>
      <c r="D43" s="19"/>
      <c r="E43" s="19">
        <f>SUM(E40:E42)</f>
        <v>15</v>
      </c>
      <c r="F43" s="19"/>
      <c r="G43" s="19">
        <f>SUM(G40:G42)</f>
        <v>6</v>
      </c>
      <c r="H43" s="19"/>
      <c r="I43" s="19">
        <f>SUM(I40:I42)</f>
        <v>0</v>
      </c>
      <c r="J43" s="19"/>
      <c r="K43" s="19">
        <f>SUM(K41:K42)</f>
        <v>0</v>
      </c>
    </row>
    <row r="44" spans="1:11" ht="15.75" customHeight="1" x14ac:dyDescent="0.3">
      <c r="A44" s="54"/>
      <c r="B44" s="17" t="s">
        <v>67</v>
      </c>
      <c r="C44" s="20">
        <f>VLOOKUP(C43,ESCALA_TRAB_EQUIP!A1:B52,2,FALSE)</f>
        <v>5.8</v>
      </c>
    </row>
    <row r="45" spans="1:11" ht="15.75" customHeight="1" x14ac:dyDescent="0.3">
      <c r="B45" s="22"/>
      <c r="C45" s="23"/>
    </row>
    <row r="46" spans="1:11" ht="15.75" customHeight="1" x14ac:dyDescent="0.3">
      <c r="B46" s="22"/>
      <c r="C46" s="23"/>
    </row>
    <row r="47" spans="1:11" ht="15.75" customHeight="1" x14ac:dyDescent="0.25">
      <c r="A47" s="66" t="s">
        <v>59</v>
      </c>
      <c r="B47" s="53" t="s">
        <v>68</v>
      </c>
      <c r="C47" s="55" t="str">
        <f>B6</f>
        <v>Javier Sereno</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5">IF($C51=CL,"X","")</f>
        <v>X</v>
      </c>
      <c r="E51" s="16">
        <f>IF(D51="X",100*0.05,"")</f>
        <v>5</v>
      </c>
      <c r="F51" s="16" t="str">
        <f t="shared" ref="F51:F53" si="16">IF($C51=L,"X","")</f>
        <v/>
      </c>
      <c r="G51" s="16" t="str">
        <f>IF(F51="X",60*0.05,"")</f>
        <v/>
      </c>
      <c r="H51" s="16" t="str">
        <f t="shared" ref="H51:H53" si="17">IF($C51=ML,"X","")</f>
        <v/>
      </c>
      <c r="I51" s="16" t="str">
        <f>IF(H51="X",30*0.05,"")</f>
        <v/>
      </c>
      <c r="J51" s="16" t="str">
        <f t="shared" ref="J51:J53" si="18">IF($C51=NL,"X","")</f>
        <v/>
      </c>
      <c r="K51" s="16" t="str">
        <f t="shared" ref="K51:K53" si="19">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c r="E52" s="16" t="str">
        <f>IF(D52="X",100*0.1,"")</f>
        <v/>
      </c>
      <c r="F52" s="16" t="s">
        <v>79</v>
      </c>
      <c r="G52" s="16">
        <f>IF(F52="X",60*0.1,"")</f>
        <v>6</v>
      </c>
      <c r="H52" s="16" t="str">
        <f t="shared" si="17"/>
        <v/>
      </c>
      <c r="I52" s="16" t="str">
        <f>IF(H52="X",30*0.1,"")</f>
        <v/>
      </c>
      <c r="J52" s="16" t="str">
        <f t="shared" si="18"/>
        <v/>
      </c>
      <c r="K52" s="16" t="str">
        <f t="shared" si="19"/>
        <v/>
      </c>
    </row>
    <row r="53" spans="1:11" x14ac:dyDescent="0.25">
      <c r="A53" s="67"/>
      <c r="B53" s="30" t="str">
        <f>RUBRICA!A13</f>
        <v>10. Colaboración y trabajo en equipo *</v>
      </c>
      <c r="C53" s="28" t="s">
        <v>63</v>
      </c>
      <c r="D53" s="16" t="str">
        <f t="shared" si="15"/>
        <v>X</v>
      </c>
      <c r="E53" s="16">
        <f>IF(D53="X",100*0.1,"")</f>
        <v>10</v>
      </c>
      <c r="F53" s="16" t="str">
        <f t="shared" si="16"/>
        <v/>
      </c>
      <c r="G53" s="16" t="str">
        <f>IF(F53="X",60*0.1,"")</f>
        <v/>
      </c>
      <c r="H53" s="16" t="str">
        <f t="shared" si="17"/>
        <v/>
      </c>
      <c r="I53" s="16" t="str">
        <f>IF(H53="X",30*0.1,"")</f>
        <v/>
      </c>
      <c r="J53" s="16" t="str">
        <f t="shared" si="18"/>
        <v/>
      </c>
      <c r="K53" s="16" t="str">
        <f t="shared" si="19"/>
        <v/>
      </c>
    </row>
    <row r="54" spans="1:11" ht="15.75" customHeight="1" x14ac:dyDescent="0.3">
      <c r="A54" s="67"/>
      <c r="B54" s="21" t="s">
        <v>70</v>
      </c>
      <c r="C54" s="18">
        <f>E54+G54+I54+K54</f>
        <v>21</v>
      </c>
      <c r="D54" s="19"/>
      <c r="E54" s="19">
        <f>SUM(E51:E53)</f>
        <v>15</v>
      </c>
      <c r="F54" s="19"/>
      <c r="G54" s="19">
        <f>SUM(G51:G53)</f>
        <v>6</v>
      </c>
      <c r="H54" s="19"/>
      <c r="I54" s="19">
        <f>SUM(I51:I53)</f>
        <v>0</v>
      </c>
      <c r="J54" s="19"/>
      <c r="K54" s="19">
        <f>SUM(K52:K53)</f>
        <v>0</v>
      </c>
    </row>
    <row r="55" spans="1:11" ht="15.75" customHeight="1" x14ac:dyDescent="0.3">
      <c r="A55" s="54"/>
      <c r="B55" s="17" t="s">
        <v>67</v>
      </c>
      <c r="C55" s="20">
        <f>VLOOKUP(C54,ESCALA_TRAB_EQUIP!A1:B52,2,FALSE)</f>
        <v>5.8</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2025-11-26T22:00:25Z</dcterms:modified>
  <cp:category/>
  <cp:contentStatus/>
</cp:coreProperties>
</file>